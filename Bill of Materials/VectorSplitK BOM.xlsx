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ck Club Projects\Forge\VectorSplitK\"/>
    </mc:Choice>
  </mc:AlternateContent>
  <xr:revisionPtr revIDLastSave="0" documentId="13_ncr:1_{D3C350A9-3373-41BD-B138-A75CC7E9B4A0}" xr6:coauthVersionLast="47" xr6:coauthVersionMax="47" xr10:uidLastSave="{00000000-0000-0000-0000-000000000000}"/>
  <bookViews>
    <workbookView xWindow="-120" yWindow="-120" windowWidth="20730" windowHeight="11235" xr2:uid="{9ADFC1CB-25AD-49A2-AA27-FCCDFE2AF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1" l="1"/>
  <c r="C16" i="1"/>
  <c r="C11" i="1"/>
  <c r="C20" i="1"/>
</calcChain>
</file>

<file path=xl/sharedStrings.xml><?xml version="1.0" encoding="utf-8"?>
<sst xmlns="http://schemas.openxmlformats.org/spreadsheetml/2006/main" count="47" uniqueCount="42">
  <si>
    <t>Component Category</t>
  </si>
  <si>
    <t>Item</t>
  </si>
  <si>
    <t>Cost</t>
  </si>
  <si>
    <t>Side Note</t>
  </si>
  <si>
    <t>Link</t>
  </si>
  <si>
    <t>Total</t>
  </si>
  <si>
    <t>Grand Total</t>
  </si>
  <si>
    <t>PCBA</t>
  </si>
  <si>
    <t>PCB [5]</t>
  </si>
  <si>
    <t>Cherry Max Key Set [4 (10 each)]</t>
  </si>
  <si>
    <t>E-POST Shipping</t>
  </si>
  <si>
    <t>Taxes &amp; Shipping</t>
  </si>
  <si>
    <t>Meckeys Shipping</t>
  </si>
  <si>
    <t>https://meckeys.com/shop/accessories/keyboard-accessories/key-switches/cherry-mx-rgb-switch/</t>
  </si>
  <si>
    <t>https://meckeys.com/shop/accessories/keyboard-accessories/key-switches/kailh-hot-swap-socket/</t>
  </si>
  <si>
    <t>Case</t>
  </si>
  <si>
    <t>Case Upper [2]</t>
  </si>
  <si>
    <t>Case Lower [2]</t>
  </si>
  <si>
    <t>https://robu.in/product/wly394058-1000mah-3-7v-single-cell-rechargeable-lipo-battery/</t>
  </si>
  <si>
    <t>WLY394058 3.7V 1000mAh 1S LiPo Battery [2]</t>
  </si>
  <si>
    <t>Standard Shipping</t>
  </si>
  <si>
    <t>Printed</t>
  </si>
  <si>
    <t>Cheapest Option</t>
  </si>
  <si>
    <t>1N5819-KEXIN-40V 500mV@1A 1A DO-214AC(SMA) Schottky Diode [42]</t>
  </si>
  <si>
    <t>RC0805FR-0780K6L-Yageo-SMD Resistor, 80.6 kΩ [67]</t>
  </si>
  <si>
    <t>AC0805FR-072ML-YAGEO-Res Resistor 2MΩ [14]</t>
  </si>
  <si>
    <t>https://robu.in/product/1n5819-kexin-40v-500mv1a-1a-do-214acsma-schottky-diodes-rohs/</t>
  </si>
  <si>
    <t>https://robu.in/product/rc0805fr-0780k6l-yageo-smd-chip-resistor-80-6-kohm-%c2%b1-1-125-mw-0805-2012-metric-thick-film-general-purpose/</t>
  </si>
  <si>
    <t>https://robu.in/product/ac0805fr-072ml-yageo-res-thick-film-0805-2m-ohm-1-0-125w1-8w-%c2%b1100ppm-c-pad-smd-t-r-automotive-aec-q200/</t>
  </si>
  <si>
    <t>Seeed Studio XIAO BLE nRF52840 [2]</t>
  </si>
  <si>
    <t>Hotswap Socket [4 (10 each)]</t>
  </si>
  <si>
    <t>SoC</t>
  </si>
  <si>
    <t>Diode</t>
  </si>
  <si>
    <t>Resistor</t>
  </si>
  <si>
    <t>https://robu.in/product/seeed-studio-xiao-ble-nrf52840/</t>
  </si>
  <si>
    <t>No assembly</t>
  </si>
  <si>
    <t>VectorSplitK BOM</t>
  </si>
  <si>
    <t>https://onlyscrews.in/products/phillips-pan-head-m3-x-12mm-pack-of-20?currency=INR&amp;country=IN&amp;variant=48468581351737&amp;stkn=6e84ebfba1b8&amp;utm_source=google&amp;utm_medium=cpc&amp;utm_campaign=inderans_campaign_copy&amp;gad_source=1&amp;gad_campaignid=22930701107&amp;gbraid=0AAAAA9sP2SRmqUzHVZy9e6A0UTPQuih7U&amp;gclid=CjwKCAjwmdLSBhANEiwAkREMN3OHQPSDehmpNt3A486QzV3VIZED1ppNLQosBPpVNRnTR3FEHJ__jhoCJA0QAvD_BwE</t>
  </si>
  <si>
    <t>M3 X 12mm Phillips Pan head SS 304 Screw [10]</t>
  </si>
  <si>
    <t>https://onlyscrews.in/products/m3-x-6mm-3d-printing-brass-threaded-inserts-dia-3mm-length-6mm?currency=INR&amp;country=IN&amp;variant=51684594909497&amp;stkn=6e84ebfba1b8&amp;utm_source=google&amp;utm_medium=cpc&amp;utm_campaign=inderans_campaign_copy&amp;gad_source=1&amp;gad_campaignid=22930701107&amp;gbraid=0AAAAA9sP2SRmqUzHVZy9e6A0UTPQuih7U&amp;gclid=CjwKCAjwmdLSBhANEiwAkREMN1EGwPlb6fHb9D60NF8BGnE4FfCl70u7F7NMlNUnfCkxsM2QirfLtBoCe7sQAvD_BwE</t>
  </si>
  <si>
    <t>M3 X 6mm 3D Printing Brass Threaded Slant Knurled Inserts [10]</t>
  </si>
  <si>
    <t>OnlyScrews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</si>
</sst>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8" x14ac:knownFonts="1">
    <font>
      <sz val="11"/>
      <color theme="1"/>
      <name val="Aptos Narrow"/>
      <family val="2"/>
      <scheme val="minor"/>
    </font>
    <font>
      <b/>
      <u/>
      <sz val="30"/>
      <color theme="1"/>
      <name val="Bahnschrift SemiBold Condensed"/>
      <family val="2"/>
    </font>
    <font>
      <b/>
      <sz val="15"/>
      <color theme="1"/>
      <name val="Bahnschrift SemiBold Condensed"/>
      <family val="2"/>
    </font>
    <font>
      <sz val="15"/>
      <color theme="1"/>
      <name val="Bahnschrift SemiBold Condensed"/>
      <family val="2"/>
    </font>
    <font>
      <sz val="10"/>
      <color theme="1"/>
      <name val="Bahnschrift SemiBold Condensed"/>
      <family val="2"/>
    </font>
    <font>
      <sz val="11"/>
      <color theme="1"/>
      <name val="Bahnschrift SemiBold Condensed"/>
      <family val="2"/>
    </font>
    <font>
      <b/>
      <sz val="11"/>
      <color theme="1"/>
      <name val="Bahnschrift SemiBold Condensed"/>
      <family val="2"/>
    </font>
    <font>
      <u/>
      <sz val="11"/>
      <color theme="1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left" vertical="center"/>
    </xf>
    <xf numFmtId="164" fontId="4" fillId="9" borderId="1" xfId="0" applyNumberFormat="1" applyFont="1" applyFill="1" applyBorder="1" applyAlignment="1">
      <alignment horizontal="center" vertical="center"/>
    </xf>
    <xf numFmtId="164" fontId="6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/>
    <xf numFmtId="0" fontId="7" fillId="10" borderId="1" xfId="1" applyFill="1" applyBorder="1" applyAlignment="1"/>
    <xf numFmtId="0" fontId="7" fillId="12" borderId="1" xfId="1" applyFill="1" applyBorder="1" applyAlignment="1"/>
    <xf numFmtId="0" fontId="7" fillId="10" borderId="1" xfId="1" applyFill="1" applyBorder="1"/>
    <xf numFmtId="164" fontId="3" fillId="12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vertical="center"/>
    </xf>
    <xf numFmtId="164" fontId="3" fillId="12" borderId="1" xfId="0" applyNumberFormat="1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nlyscrews.in/products/m3-x-6mm-3d-printing-brass-threaded-inserts-dia-3mm-length-6mm?currency=INR&amp;country=IN&amp;variant=51684594909497&amp;stkn=6e84ebfba1b8&amp;utm_source=google&amp;utm_medium=cpc&amp;utm_campaign=inderans_campaign_copy&amp;gad_source=1&amp;gad_campaignid=22930701107&amp;gbraid=0AAAAA9sP2SRmqUzHVZy9e6A0UTPQuih7U&amp;gclid=CjwKCAjwmdLSBhANEiwAkREMN1EGwPlb6fHb9D60NF8BGnE4FfCl70u7F7NMlNUnfCkxsM2QirfLtBoCe7sQAvD_BwE" TargetMode="External"/><Relationship Id="rId2" Type="http://schemas.openxmlformats.org/officeDocument/2006/relationships/hyperlink" Target="https://robu.in/product/seeed-studio-xiao-ble-nrf52840/" TargetMode="External"/><Relationship Id="rId1" Type="http://schemas.openxmlformats.org/officeDocument/2006/relationships/hyperlink" Target="https://meckeys.com/shop/accessories/keyboard-accessories/key-switches/cherry-mx-rgb-swit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6FDD0-C7EA-42BF-B1AB-2768689F401D}">
  <dimension ref="A1:E21"/>
  <sheetViews>
    <sheetView tabSelected="1" zoomScale="82" zoomScaleNormal="100" workbookViewId="0">
      <selection sqref="A1:E21"/>
    </sheetView>
  </sheetViews>
  <sheetFormatPr defaultRowHeight="15" x14ac:dyDescent="0.25"/>
  <cols>
    <col min="1" max="1" width="28.85546875" bestFit="1" customWidth="1"/>
    <col min="2" max="2" width="46.5703125" bestFit="1" customWidth="1"/>
    <col min="3" max="3" width="11.28515625" bestFit="1" customWidth="1"/>
    <col min="4" max="4" width="17.28515625" bestFit="1" customWidth="1"/>
    <col min="5" max="5" width="149.5703125" bestFit="1" customWidth="1"/>
  </cols>
  <sheetData>
    <row r="1" spans="1:5" ht="36.75" x14ac:dyDescent="0.25">
      <c r="A1" s="21" t="s">
        <v>36</v>
      </c>
      <c r="B1" s="21"/>
      <c r="C1" s="21"/>
      <c r="D1" s="21"/>
      <c r="E1" s="21"/>
    </row>
    <row r="2" spans="1:5" ht="18.75" x14ac:dyDescent="0.25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</row>
    <row r="3" spans="1:5" x14ac:dyDescent="0.25">
      <c r="A3" s="22" t="s">
        <v>7</v>
      </c>
      <c r="B3" s="6" t="s">
        <v>8</v>
      </c>
      <c r="C3" s="7">
        <v>16.399999999999999</v>
      </c>
      <c r="D3" s="7" t="s">
        <v>35</v>
      </c>
      <c r="E3" s="12"/>
    </row>
    <row r="4" spans="1:5" x14ac:dyDescent="0.25">
      <c r="A4" s="22"/>
      <c r="B4" s="6" t="s">
        <v>9</v>
      </c>
      <c r="C4" s="7">
        <v>14.1</v>
      </c>
      <c r="D4" s="7"/>
      <c r="E4" s="12" t="s">
        <v>13</v>
      </c>
    </row>
    <row r="5" spans="1:5" x14ac:dyDescent="0.25">
      <c r="A5" s="22"/>
      <c r="B5" s="6" t="s">
        <v>30</v>
      </c>
      <c r="C5" s="7">
        <v>3.18</v>
      </c>
      <c r="D5" s="7"/>
      <c r="E5" s="12" t="s">
        <v>14</v>
      </c>
    </row>
    <row r="6" spans="1:5" x14ac:dyDescent="0.25">
      <c r="A6" s="22"/>
      <c r="B6" s="6" t="s">
        <v>19</v>
      </c>
      <c r="C6" s="7">
        <v>7.88</v>
      </c>
      <c r="D6" s="7"/>
      <c r="E6" s="12" t="s">
        <v>18</v>
      </c>
    </row>
    <row r="7" spans="1:5" x14ac:dyDescent="0.25">
      <c r="A7" s="22"/>
      <c r="B7" s="6" t="s">
        <v>29</v>
      </c>
      <c r="C7" s="7">
        <v>23.6</v>
      </c>
      <c r="D7" s="7" t="s">
        <v>31</v>
      </c>
      <c r="E7" s="12" t="s">
        <v>34</v>
      </c>
    </row>
    <row r="8" spans="1:5" x14ac:dyDescent="0.25">
      <c r="A8" s="22"/>
      <c r="B8" s="6" t="s">
        <v>23</v>
      </c>
      <c r="C8" s="7">
        <v>0.66</v>
      </c>
      <c r="D8" s="7" t="s">
        <v>32</v>
      </c>
      <c r="E8" s="12" t="s">
        <v>26</v>
      </c>
    </row>
    <row r="9" spans="1:5" x14ac:dyDescent="0.25">
      <c r="A9" s="22"/>
      <c r="B9" s="6" t="s">
        <v>24</v>
      </c>
      <c r="C9" s="7">
        <v>0.1</v>
      </c>
      <c r="D9" s="7" t="s">
        <v>33</v>
      </c>
      <c r="E9" s="12" t="s">
        <v>27</v>
      </c>
    </row>
    <row r="10" spans="1:5" x14ac:dyDescent="0.25">
      <c r="A10" s="22"/>
      <c r="B10" s="6" t="s">
        <v>25</v>
      </c>
      <c r="C10" s="7">
        <v>0.11</v>
      </c>
      <c r="D10" s="7" t="s">
        <v>33</v>
      </c>
      <c r="E10" s="12" t="s">
        <v>28</v>
      </c>
    </row>
    <row r="11" spans="1:5" x14ac:dyDescent="0.25">
      <c r="A11" s="22"/>
      <c r="B11" s="15" t="s">
        <v>5</v>
      </c>
      <c r="C11" s="8">
        <f>SUM(C3:C10)</f>
        <v>66.029999999999987</v>
      </c>
      <c r="D11" s="8"/>
      <c r="E11" s="9"/>
    </row>
    <row r="12" spans="1:5" x14ac:dyDescent="0.25">
      <c r="A12" s="18" t="s">
        <v>15</v>
      </c>
      <c r="B12" s="14" t="s">
        <v>16</v>
      </c>
      <c r="C12" s="7">
        <v>0</v>
      </c>
      <c r="D12" s="7" t="s">
        <v>21</v>
      </c>
      <c r="E12" s="10"/>
    </row>
    <row r="13" spans="1:5" x14ac:dyDescent="0.25">
      <c r="A13" s="19"/>
      <c r="B13" s="6" t="s">
        <v>17</v>
      </c>
      <c r="C13" s="7">
        <v>0</v>
      </c>
      <c r="D13" s="7" t="s">
        <v>21</v>
      </c>
      <c r="E13" s="10"/>
    </row>
    <row r="14" spans="1:5" x14ac:dyDescent="0.25">
      <c r="A14" s="19"/>
      <c r="B14" s="6" t="s">
        <v>38</v>
      </c>
      <c r="C14" s="7">
        <v>0.21</v>
      </c>
      <c r="D14" s="7"/>
      <c r="E14" s="10" t="s">
        <v>37</v>
      </c>
    </row>
    <row r="15" spans="1:5" x14ac:dyDescent="0.25">
      <c r="A15" s="19"/>
      <c r="B15" s="6" t="s">
        <v>40</v>
      </c>
      <c r="C15" s="7">
        <v>0.5</v>
      </c>
      <c r="D15" s="7"/>
      <c r="E15" s="10" t="s">
        <v>39</v>
      </c>
    </row>
    <row r="16" spans="1:5" x14ac:dyDescent="0.25">
      <c r="A16" s="20"/>
      <c r="B16" s="15" t="s">
        <v>5</v>
      </c>
      <c r="C16" s="8">
        <f>SUM(C12:C15)</f>
        <v>0.71</v>
      </c>
      <c r="D16" s="8"/>
      <c r="E16" s="11"/>
    </row>
    <row r="17" spans="1:5" x14ac:dyDescent="0.25">
      <c r="A17" s="23" t="s">
        <v>11</v>
      </c>
      <c r="B17" s="14" t="s">
        <v>12</v>
      </c>
      <c r="C17" s="7">
        <v>1.05</v>
      </c>
      <c r="D17" s="7" t="s">
        <v>20</v>
      </c>
      <c r="E17" s="10"/>
    </row>
    <row r="18" spans="1:5" x14ac:dyDescent="0.25">
      <c r="A18" s="24"/>
      <c r="B18" s="14" t="s">
        <v>41</v>
      </c>
      <c r="C18" s="7">
        <v>0.72</v>
      </c>
      <c r="D18" s="7" t="s">
        <v>20</v>
      </c>
      <c r="E18" s="10"/>
    </row>
    <row r="19" spans="1:5" x14ac:dyDescent="0.25">
      <c r="A19" s="24"/>
      <c r="B19" s="6" t="s">
        <v>10</v>
      </c>
      <c r="C19" s="7">
        <v>16.73</v>
      </c>
      <c r="D19" s="7" t="s">
        <v>22</v>
      </c>
      <c r="E19" s="10"/>
    </row>
    <row r="20" spans="1:5" x14ac:dyDescent="0.25">
      <c r="A20" s="25"/>
      <c r="B20" s="15" t="s">
        <v>5</v>
      </c>
      <c r="C20" s="8">
        <f>SUM(C17:C19)</f>
        <v>18.5</v>
      </c>
      <c r="D20" s="8"/>
      <c r="E20" s="11"/>
    </row>
    <row r="21" spans="1:5" ht="18.75" x14ac:dyDescent="0.25">
      <c r="A21" s="16" t="s">
        <v>6</v>
      </c>
      <c r="B21" s="16"/>
      <c r="C21" s="13">
        <f>SUM(C11,C16,C20)</f>
        <v>85.239999999999981</v>
      </c>
      <c r="D21" s="17"/>
      <c r="E21" s="17"/>
    </row>
  </sheetData>
  <mergeCells count="6">
    <mergeCell ref="A21:B21"/>
    <mergeCell ref="D21:E21"/>
    <mergeCell ref="A12:A16"/>
    <mergeCell ref="A1:E1"/>
    <mergeCell ref="A3:A11"/>
    <mergeCell ref="A17:A20"/>
  </mergeCells>
  <hyperlinks>
    <hyperlink ref="E4" r:id="rId1" xr:uid="{14562D46-89F9-494E-A205-990AA338149B}"/>
    <hyperlink ref="E7" r:id="rId2" xr:uid="{7C2F185A-BEC0-48FB-B827-D6236BB12816}"/>
    <hyperlink ref="E15" r:id="rId3" display="https://onlyscrews.in/products/m3-x-6mm-3d-printing-brass-threaded-inserts-dia-3mm-length-6mm?currency=INR&amp;country=IN&amp;variant=51684594909497&amp;stkn=6e84ebfba1b8&amp;utm_source=google&amp;utm_medium=cpc&amp;utm_campaign=inderans_campaign_copy&amp;gad_source=1&amp;gad_campaignid=22930701107&amp;gbraid=0AAAAA9sP2SRmqUzHVZy9e6A0UTPQuih7U&amp;gclid=CjwKCAjwmdLSBhANEiwAkREMN1EGwPlb6fHb9D60NF8BGnE4FfCl70u7F7NMlNUnfCkxsM2QirfLtBoCe7sQAvD_BwE" xr:uid="{1C064C9D-F4CD-4345-A634-0C9DFEE4A3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Sunrit Hazra</dc:creator>
  <cp:lastModifiedBy>Sunrit Hazra</cp:lastModifiedBy>
  <dcterms:created xsi:type="dcterms:W3CDTF">2026-07-13T12:07:20Z</dcterms:created>
  <dcterms:modified xsi:type="dcterms:W3CDTF">2026-07-16T16:57:41Z</dcterms:modified>
</cp:coreProperties>
</file>